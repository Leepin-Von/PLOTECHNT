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529"/>
  <workbookPr hidePivotFieldList="1"/>
  <mc:AlternateContent xmlns:mc="http://schemas.openxmlformats.org/markup-compatibility/2006">
    <mc:Choice Requires="x15">
      <x15ac:absPath xmlns:x15ac="http://schemas.microsoft.com/office/spreadsheetml/2010/11/ac" url="D:\Desktop\资料汇总\"/>
    </mc:Choice>
  </mc:AlternateContent>
  <xr:revisionPtr revIDLastSave="0" documentId="8_{8C60AF2D-2AE8-4574-AFBD-A197FC8F318B}" xr6:coauthVersionLast="47" xr6:coauthVersionMax="47" xr10:uidLastSave="{00000000-0000-0000-0000-000000000000}"/>
  <bookViews>
    <workbookView xWindow="1344" yWindow="528" windowWidth="21528" windowHeight="11832"/>
  </bookViews>
  <sheets>
    <sheet name="当月加班记录" sheetId="1" r:id="rId1"/>
    <sheet name="工资细项" sheetId="3" r:id="rId2"/>
  </sheets>
  <definedNames>
    <definedName name="Calendar1Month">当月加班记录!$G$1</definedName>
    <definedName name="Calendar1MonthNumber">MATCH(Calendar1Month,MonthList,0)</definedName>
    <definedName name="Calendar1Year">当月加班记录!$F$1</definedName>
    <definedName name="DayList">{1,2,3,4,5,6,7}</definedName>
    <definedName name="MonthList">{1,2,3,4,5,6,7,8,9,10,11,12}</definedName>
    <definedName name="StartWeekday">当月加班记录!$A$3</definedName>
    <definedName name="WeekdayList">{"星期一","星期二","星期三","星期四","星期五","星期六","星期日"}</definedName>
    <definedName name="WeekdayNumber">MATCH(StartWeekday,WeekdayList,0)+10</definedName>
  </definedNames>
  <calcPr calcId="191029" iterate="1" concurrentCalc="0"/>
</workbook>
</file>

<file path=xl/calcChain.xml><?xml version="1.0" encoding="utf-8"?>
<calcChain xmlns="http://schemas.openxmlformats.org/spreadsheetml/2006/main">
  <c r="B13" i="3" l="1"/>
  <c r="B5" i="3"/>
  <c r="B6" i="3"/>
  <c r="B8" i="3"/>
  <c r="A14" i="1" a="1"/>
  <c r="A14" i="1"/>
  <c r="B14" i="1"/>
  <c r="C14" i="1"/>
  <c r="D14" i="1"/>
  <c r="E14" i="1"/>
  <c r="F14" i="1"/>
  <c r="G14" i="1"/>
  <c r="A12" i="1" a="1"/>
  <c r="A12" i="1"/>
  <c r="B12" i="1"/>
  <c r="C12" i="1"/>
  <c r="D12" i="1"/>
  <c r="E12" i="1"/>
  <c r="F12" i="1"/>
  <c r="G12" i="1"/>
  <c r="A10" i="1" a="1"/>
  <c r="A10" i="1"/>
  <c r="B10" i="1"/>
  <c r="C10" i="1"/>
  <c r="D10" i="1"/>
  <c r="E10" i="1"/>
  <c r="F10" i="1"/>
  <c r="G10" i="1"/>
  <c r="A8" i="1" a="1"/>
  <c r="A8" i="1"/>
  <c r="B8" i="1"/>
  <c r="C8" i="1"/>
  <c r="D8" i="1"/>
  <c r="E8" i="1"/>
  <c r="F8" i="1"/>
  <c r="G8" i="1"/>
  <c r="A6" i="1" a="1"/>
  <c r="A6" i="1"/>
  <c r="B6" i="1"/>
  <c r="C6" i="1"/>
  <c r="D6" i="1"/>
  <c r="E6" i="1"/>
  <c r="F6" i="1"/>
  <c r="G6" i="1"/>
  <c r="A4" i="1" a="1"/>
  <c r="A4" i="1"/>
  <c r="B4" i="1"/>
  <c r="C4" i="1"/>
  <c r="D4" i="1"/>
  <c r="E4" i="1"/>
  <c r="F4" i="1"/>
  <c r="G4" i="1"/>
  <c r="C3" i="1"/>
  <c r="D3" i="1"/>
  <c r="E3" i="1"/>
  <c r="F3" i="1"/>
  <c r="G3" i="1"/>
  <c r="B3" i="1"/>
  <c r="A1" i="1"/>
</calcChain>
</file>

<file path=xl/sharedStrings.xml><?xml version="1.0" encoding="utf-8"?>
<sst xmlns="http://schemas.openxmlformats.org/spreadsheetml/2006/main" count="15" uniqueCount="15">
  <si>
    <t>基本工资</t>
    <phoneticPr fontId="1" type="noConversion"/>
  </si>
  <si>
    <t>全勤奖</t>
    <phoneticPr fontId="1" type="noConversion"/>
  </si>
  <si>
    <t>五险一金</t>
    <phoneticPr fontId="1" type="noConversion"/>
  </si>
  <si>
    <t>当月总工资</t>
    <phoneticPr fontId="1" type="noConversion"/>
  </si>
  <si>
    <t>补贴</t>
    <phoneticPr fontId="1" type="noConversion"/>
  </si>
  <si>
    <t>细项</t>
    <phoneticPr fontId="1" type="noConversion"/>
  </si>
  <si>
    <t>工资</t>
    <phoneticPr fontId="1" type="noConversion"/>
  </si>
  <si>
    <t>星期日</t>
  </si>
  <si>
    <t>选择年月:</t>
    <phoneticPr fontId="1" type="noConversion"/>
  </si>
  <si>
    <t>当月工作日加班总时长</t>
    <phoneticPr fontId="1" type="noConversion"/>
  </si>
  <si>
    <t>当月周末加班总时长</t>
    <phoneticPr fontId="1" type="noConversion"/>
  </si>
  <si>
    <t>预计工作日内每日加班小时数</t>
    <phoneticPr fontId="1" type="noConversion"/>
  </si>
  <si>
    <t>预计周六每日加班小时数</t>
    <phoneticPr fontId="1" type="noConversion"/>
  </si>
  <si>
    <t>工资预测</t>
    <phoneticPr fontId="1" type="noConversion"/>
  </si>
  <si>
    <t>预计到手税后工资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</si>
</sst>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 &quot;¥&quot;* #,##0.00_ ;_ &quot;¥&quot;* \-#,##0.00_ ;_ &quot;¥&quot;* &quot;-&quot;??_ ;_ @_ "/>
    <numFmt numFmtId="176" formatCode="[$-804]aaaa;@"/>
    <numFmt numFmtId="177" formatCode="d"/>
    <numFmt numFmtId="178" formatCode="[$¥-804]#,##0.00;[$¥-804]\-#,##0.00"/>
  </numFmts>
  <fonts count="6" x14ac:knownFonts="1">
    <font>
      <sz val="11"/>
      <color theme="1"/>
      <name val="等线"/>
      <charset val="134"/>
      <scheme val="minor"/>
    </font>
    <font>
      <sz val="9"/>
      <name val="等线"/>
      <charset val="134"/>
    </font>
    <font>
      <b/>
      <sz val="12"/>
      <color theme="1"/>
      <name val="等线 Light"/>
      <charset val="134"/>
      <scheme val="major"/>
    </font>
    <font>
      <b/>
      <sz val="11"/>
      <color theme="9"/>
      <name val="等线 Light"/>
      <charset val="134"/>
      <scheme val="major"/>
    </font>
    <font>
      <b/>
      <sz val="11"/>
      <color theme="0"/>
      <name val="等线"/>
      <charset val="134"/>
      <scheme val="minor"/>
    </font>
    <font>
      <b/>
      <sz val="11"/>
      <color theme="0"/>
      <name val="等线 Light"/>
      <charset val="134"/>
      <scheme val="maj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1" xfId="0" applyBorder="1" applyAlignment="1">
      <alignment horizontal="left"/>
    </xf>
    <xf numFmtId="176" fontId="0" fillId="0" borderId="2" xfId="0" applyNumberFormat="1" applyBorder="1"/>
    <xf numFmtId="176" fontId="0" fillId="0" borderId="3" xfId="0" applyNumberFormat="1" applyBorder="1"/>
    <xf numFmtId="176" fontId="0" fillId="0" borderId="4" xfId="0" applyNumberFormat="1" applyBorder="1"/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3" fillId="0" borderId="0" xfId="0" applyFont="1"/>
    <xf numFmtId="0" fontId="4" fillId="3" borderId="5" xfId="0" applyFont="1" applyFill="1" applyBorder="1" applyAlignment="1">
      <alignment horizontal="left"/>
    </xf>
    <xf numFmtId="178" fontId="4" fillId="3" borderId="6" xfId="0" applyNumberFormat="1" applyFont="1" applyFill="1" applyBorder="1" applyAlignment="1">
      <alignment horizontal="left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3" borderId="10" xfId="0" applyFont="1" applyFill="1" applyBorder="1"/>
    <xf numFmtId="0" fontId="5" fillId="3" borderId="11" xfId="0" applyFont="1" applyFill="1" applyBorder="1"/>
    <xf numFmtId="0" fontId="0" fillId="0" borderId="8" xfId="0" applyBorder="1" applyAlignment="1">
      <alignment horizontal="left"/>
    </xf>
    <xf numFmtId="44" fontId="0" fillId="0" borderId="8" xfId="0" applyNumberFormat="1" applyBorder="1" applyAlignment="1">
      <alignment horizontal="left"/>
    </xf>
    <xf numFmtId="0" fontId="0" fillId="0" borderId="1" xfId="0" applyBorder="1" applyAlignment="1">
      <alignment horizontal="left" wrapText="1"/>
    </xf>
    <xf numFmtId="0" fontId="0" fillId="0" borderId="8" xfId="0" applyBorder="1" applyAlignment="1">
      <alignment horizontal="left" vertical="center"/>
    </xf>
    <xf numFmtId="177" fontId="0" fillId="0" borderId="1" xfId="0" applyNumberFormat="1" applyBorder="1" applyAlignment="1">
      <alignment horizontal="center"/>
    </xf>
    <xf numFmtId="177" fontId="0" fillId="0" borderId="7" xfId="0" applyNumberFormat="1" applyBorder="1" applyAlignment="1">
      <alignment horizontal="center"/>
    </xf>
    <xf numFmtId="177" fontId="0" fillId="0" borderId="8" xfId="0" applyNumberFormat="1" applyBorder="1" applyAlignment="1">
      <alignment horizontal="center"/>
    </xf>
    <xf numFmtId="0" fontId="4" fillId="3" borderId="12" xfId="0" applyFont="1" applyFill="1" applyBorder="1" applyAlignment="1">
      <alignment horizontal="left"/>
    </xf>
    <xf numFmtId="0" fontId="4" fillId="3" borderId="13" xfId="0" applyFont="1" applyFill="1" applyBorder="1" applyAlignment="1">
      <alignment horizontal="left"/>
    </xf>
    <xf numFmtId="0" fontId="4" fillId="3" borderId="14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</cellXfs>
  <cellStyles count="1">
    <cellStyle name="常规" xfId="0" builtinId="0"/>
  </cellStyles>
  <dxfs count="3">
    <dxf>
      <font>
        <b/>
        <i val="0"/>
        <color theme="5"/>
      </font>
      <fill>
        <patternFill>
          <bgColor theme="5" tint="0.59996337778862885"/>
        </patternFill>
      </fill>
    </dxf>
    <dxf>
      <font>
        <b/>
        <i val="0"/>
        <color theme="5"/>
      </font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tabSelected="1" workbookViewId="0">
      <selection activeCell="J7" sqref="J7"/>
    </sheetView>
  </sheetViews>
  <sheetFormatPr defaultRowHeight="13.8" x14ac:dyDescent="0.25"/>
  <cols>
    <col min="1" max="7" width="8.77734375" customWidth="1"/>
  </cols>
  <sheetData>
    <row r="1" spans="1:7" ht="14.4" thickBot="1" x14ac:dyDescent="0.3">
      <c r="A1" s="25" t="str">
        <f ca="1">TEXT(TODAY(),"今天是yyyy年m月d日 aaaa")</f>
        <v>今天是2023年7月13日 星期四</v>
      </c>
      <c r="B1" s="26"/>
      <c r="C1" s="27"/>
      <c r="E1" s="7" t="s">
        <v>8</v>
      </c>
      <c r="F1" s="16">
        <v>2023</v>
      </c>
      <c r="G1" s="17">
        <v>7</v>
      </c>
    </row>
    <row r="2" spans="1:7" ht="6" customHeight="1" thickBot="1" x14ac:dyDescent="0.3"/>
    <row r="3" spans="1:7" x14ac:dyDescent="0.25">
      <c r="A3" s="2" t="s">
        <v>7</v>
      </c>
      <c r="B3" s="3" t="str">
        <f t="shared" ref="B3:G3" si="0">TEXT(B4,"aaaa")</f>
        <v>星期一</v>
      </c>
      <c r="C3" s="3" t="str">
        <f t="shared" si="0"/>
        <v>星期二</v>
      </c>
      <c r="D3" s="3" t="str">
        <f t="shared" si="0"/>
        <v>星期三</v>
      </c>
      <c r="E3" s="3" t="str">
        <f t="shared" si="0"/>
        <v>星期四</v>
      </c>
      <c r="F3" s="3" t="str">
        <f t="shared" si="0"/>
        <v>星期五</v>
      </c>
      <c r="G3" s="4" t="str">
        <f t="shared" si="0"/>
        <v>星期六</v>
      </c>
    </row>
    <row r="4" spans="1:7" x14ac:dyDescent="0.25">
      <c r="A4" s="22">
        <f t="array" ref="A4:G4">DayList+0+DATE(Calendar1Year,Calendar1MonthNumber,1)-WEEKDAY(DATE(Calendar1Year,Calendar1MonthNumber,1),WeekdayNumber)</f>
        <v>45102</v>
      </c>
      <c r="B4" s="23">
        <v>45103</v>
      </c>
      <c r="C4" s="23">
        <v>45104</v>
      </c>
      <c r="D4" s="23">
        <v>45105</v>
      </c>
      <c r="E4" s="23">
        <v>45106</v>
      </c>
      <c r="F4" s="23">
        <v>45107</v>
      </c>
      <c r="G4" s="24">
        <v>45108</v>
      </c>
    </row>
    <row r="5" spans="1:7" ht="27.6" customHeight="1" x14ac:dyDescent="0.25">
      <c r="A5" s="10"/>
      <c r="B5" s="11"/>
      <c r="C5" s="11"/>
      <c r="D5" s="11"/>
      <c r="E5" s="11"/>
      <c r="F5" s="11"/>
      <c r="G5" s="12"/>
    </row>
    <row r="6" spans="1:7" x14ac:dyDescent="0.25">
      <c r="A6" s="22">
        <f t="array" ref="A6:G6">DayList+7+DATE(Calendar1Year,Calendar1MonthNumber,1)-WEEKDAY(DATE(Calendar1Year,Calendar1MonthNumber,1),WeekdayNumber)</f>
        <v>45109</v>
      </c>
      <c r="B6" s="23">
        <v>45110</v>
      </c>
      <c r="C6" s="23">
        <v>45111</v>
      </c>
      <c r="D6" s="23">
        <v>45112</v>
      </c>
      <c r="E6" s="23">
        <v>45113</v>
      </c>
      <c r="F6" s="23">
        <v>45114</v>
      </c>
      <c r="G6" s="24">
        <v>45115</v>
      </c>
    </row>
    <row r="7" spans="1:7" ht="27.6" customHeight="1" x14ac:dyDescent="0.25">
      <c r="A7" s="10"/>
      <c r="B7" s="11"/>
      <c r="C7" s="11"/>
      <c r="D7" s="11"/>
      <c r="E7" s="11"/>
      <c r="F7" s="11"/>
      <c r="G7" s="12"/>
    </row>
    <row r="8" spans="1:7" x14ac:dyDescent="0.25">
      <c r="A8" s="22">
        <f t="array" ref="A8:G8">DayList+14+DATE(Calendar1Year,Calendar1MonthNumber,1)-WEEKDAY(DATE(Calendar1Year,Calendar1MonthNumber,1),WeekdayNumber)</f>
        <v>45116</v>
      </c>
      <c r="B8" s="23">
        <v>45117</v>
      </c>
      <c r="C8" s="23">
        <v>45118</v>
      </c>
      <c r="D8" s="23">
        <v>45119</v>
      </c>
      <c r="E8" s="23">
        <v>45120</v>
      </c>
      <c r="F8" s="23">
        <v>45121</v>
      </c>
      <c r="G8" s="24">
        <v>45122</v>
      </c>
    </row>
    <row r="9" spans="1:7" ht="27.6" customHeight="1" x14ac:dyDescent="0.25">
      <c r="A9" s="10"/>
      <c r="B9" s="11"/>
      <c r="C9" s="11"/>
      <c r="D9" s="11"/>
      <c r="E9" s="11"/>
      <c r="F9" s="11"/>
      <c r="G9" s="12"/>
    </row>
    <row r="10" spans="1:7" x14ac:dyDescent="0.25">
      <c r="A10" s="22">
        <f t="array" ref="A10:G10">DayList+21+DATE(Calendar1Year,Calendar1MonthNumber,1)-WEEKDAY(DATE(Calendar1Year,Calendar1MonthNumber,1),WeekdayNumber)</f>
        <v>45123</v>
      </c>
      <c r="B10" s="23">
        <v>45124</v>
      </c>
      <c r="C10" s="23">
        <v>45125</v>
      </c>
      <c r="D10" s="23">
        <v>45126</v>
      </c>
      <c r="E10" s="23">
        <v>45127</v>
      </c>
      <c r="F10" s="23">
        <v>45128</v>
      </c>
      <c r="G10" s="24">
        <v>45129</v>
      </c>
    </row>
    <row r="11" spans="1:7" ht="27.6" customHeight="1" x14ac:dyDescent="0.25">
      <c r="A11" s="10"/>
      <c r="B11" s="11"/>
      <c r="C11" s="11"/>
      <c r="D11" s="11"/>
      <c r="E11" s="11"/>
      <c r="F11" s="11"/>
      <c r="G11" s="12"/>
    </row>
    <row r="12" spans="1:7" x14ac:dyDescent="0.25">
      <c r="A12" s="22">
        <f t="array" ref="A12:G12">DayList+28+DATE(Calendar1Year,Calendar1MonthNumber,1)-WEEKDAY(DATE(Calendar1Year,Calendar1MonthNumber,1),WeekdayNumber)</f>
        <v>45130</v>
      </c>
      <c r="B12" s="23">
        <v>45131</v>
      </c>
      <c r="C12" s="23">
        <v>45132</v>
      </c>
      <c r="D12" s="23">
        <v>45133</v>
      </c>
      <c r="E12" s="23">
        <v>45134</v>
      </c>
      <c r="F12" s="23">
        <v>45135</v>
      </c>
      <c r="G12" s="24">
        <v>45136</v>
      </c>
    </row>
    <row r="13" spans="1:7" ht="27.6" customHeight="1" x14ac:dyDescent="0.25">
      <c r="A13" s="10"/>
      <c r="B13" s="11"/>
      <c r="C13" s="11"/>
      <c r="D13" s="11"/>
      <c r="E13" s="11"/>
      <c r="F13" s="11"/>
      <c r="G13" s="12"/>
    </row>
    <row r="14" spans="1:7" x14ac:dyDescent="0.25">
      <c r="A14" s="22">
        <f t="array" ref="A14:G14">DayList+35+DATE(Calendar1Year,Calendar1MonthNumber,1)-WEEKDAY(DATE(Calendar1Year,Calendar1MonthNumber,1),WeekdayNumber)</f>
        <v>45137</v>
      </c>
      <c r="B14" s="23">
        <v>45138</v>
      </c>
      <c r="C14" s="23">
        <v>45139</v>
      </c>
      <c r="D14" s="23">
        <v>45140</v>
      </c>
      <c r="E14" s="23">
        <v>45141</v>
      </c>
      <c r="F14" s="23">
        <v>45142</v>
      </c>
      <c r="G14" s="24">
        <v>45143</v>
      </c>
    </row>
    <row r="15" spans="1:7" ht="27.6" customHeight="1" thickBot="1" x14ac:dyDescent="0.3">
      <c r="A15" s="13"/>
      <c r="B15" s="14"/>
      <c r="C15" s="14"/>
      <c r="D15" s="14"/>
      <c r="E15" s="14"/>
      <c r="F15" s="14"/>
      <c r="G15" s="15"/>
    </row>
  </sheetData>
  <mergeCells count="1">
    <mergeCell ref="A1:C1"/>
  </mergeCells>
  <phoneticPr fontId="1" type="noConversion"/>
  <conditionalFormatting sqref="A4:G15">
    <cfRule type="expression" dxfId="2" priority="4">
      <formula>MONTH(A4)=Calendar1MonthNumber</formula>
    </cfRule>
  </conditionalFormatting>
  <conditionalFormatting sqref="B5:F5 B7:F7 B9:F9 B11:F11 B13:F13 B15:F15">
    <cfRule type="cellIs" dxfId="1" priority="3" operator="greaterThan">
      <formula>1.5</formula>
    </cfRule>
  </conditionalFormatting>
  <conditionalFormatting sqref="G5 G7 G9 G11 G13 G15 A15 A13 A11 A9 A7 A5">
    <cfRule type="cellIs" dxfId="0" priority="2" operator="greaterThan">
      <formula>9.5</formula>
    </cfRule>
  </conditionalFormatting>
  <dataValidations count="3">
    <dataValidation type="list" allowBlank="1" showInputMessage="1" showErrorMessage="1" sqref="G1">
      <formula1>"1,2,3,4,5,6,7,8,9,10,11,12"</formula1>
    </dataValidation>
    <dataValidation type="list" allowBlank="1" showInputMessage="1" showErrorMessage="1" sqref="A3">
      <formula1>"星期一,星期二,星期三,星期四,星期五,星期六,星期日"</formula1>
    </dataValidation>
    <dataValidation type="list" allowBlank="1" showInputMessage="1" showErrorMessage="1" sqref="F1">
      <formula1>"2000,2001,2002,2003,2004,2005,2006,2007,2008,2009,2010,2011,2012,2013,2014,2015,2016,2017,2018,2019,2020,2021,2022,2023,2024,2025,2026,2027,2028,2029,2030,2031,2032,2033,2034,2035,2036,2037,2038,2039,2040,2041,2042,2043,2044,2045,2046,2047,2048,2049,2050"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"/>
  <sheetViews>
    <sheetView workbookViewId="0">
      <selection activeCell="C18" sqref="C18"/>
    </sheetView>
  </sheetViews>
  <sheetFormatPr defaultRowHeight="13.8" x14ac:dyDescent="0.25"/>
  <cols>
    <col min="1" max="1" width="22.6640625" bestFit="1" customWidth="1"/>
    <col min="2" max="2" width="10.5546875" bestFit="1" customWidth="1"/>
  </cols>
  <sheetData>
    <row r="1" spans="1:2" ht="15.6" x14ac:dyDescent="0.3">
      <c r="A1" s="5" t="s">
        <v>5</v>
      </c>
      <c r="B1" s="6" t="s">
        <v>6</v>
      </c>
    </row>
    <row r="2" spans="1:2" x14ac:dyDescent="0.25">
      <c r="A2" s="1" t="s">
        <v>0</v>
      </c>
      <c r="B2" s="19">
        <v>2070</v>
      </c>
    </row>
    <row r="3" spans="1:2" x14ac:dyDescent="0.25">
      <c r="A3" s="1" t="s">
        <v>1</v>
      </c>
      <c r="B3" s="19">
        <v>120</v>
      </c>
    </row>
    <row r="4" spans="1:2" x14ac:dyDescent="0.25">
      <c r="A4" s="1" t="s">
        <v>2</v>
      </c>
      <c r="B4" s="19">
        <v>775.87</v>
      </c>
    </row>
    <row r="5" spans="1:2" x14ac:dyDescent="0.25">
      <c r="A5" s="1" t="s">
        <v>9</v>
      </c>
      <c r="B5" s="18">
        <f>SUM(当月加班记录!B5+当月加班记录!C5+当月加班记录!D5+当月加班记录!E5+当月加班记录!F5)+SUM(当月加班记录!B7+当月加班记录!C7+当月加班记录!D7+当月加班记录!E7+当月加班记录!F7)+SUM(当月加班记录!B9+当月加班记录!C9+当月加班记录!D9+当月加班记录!E9+当月加班记录!F9)+SUM(当月加班记录!B11+当月加班记录!C11+当月加班记录!D11+当月加班记录!E11+当月加班记录!F11)+SUM(当月加班记录!B13+当月加班记录!C13+当月加班记录!D13+当月加班记录!E13+当月加班记录!F13)+SUM(当月加班记录!B15+当月加班记录!C15+当月加班记录!D15+当月加班记录!E15+当月加班记录!F15)</f>
        <v>0</v>
      </c>
    </row>
    <row r="6" spans="1:2" x14ac:dyDescent="0.25">
      <c r="A6" s="1" t="s">
        <v>10</v>
      </c>
      <c r="B6" s="18">
        <f>SUM(当月加班记录!G5+当月加班记录!G7+当月加班记录!G9+当月加班记录!G11+当月加班记录!G13+当月加班记录!G15)+SUM(当月加班记录!A5+当月加班记录!A7++当月加班记录!A9+当月加班记录!A11+当月加班记录!A13+当月加班记录!A15)</f>
        <v>0</v>
      </c>
    </row>
    <row r="7" spans="1:2" x14ac:dyDescent="0.25">
      <c r="A7" s="1" t="s">
        <v>4</v>
      </c>
      <c r="B7" s="19">
        <v>350</v>
      </c>
    </row>
    <row r="8" spans="1:2" ht="14.4" thickBot="1" x14ac:dyDescent="0.3">
      <c r="A8" s="8" t="s">
        <v>3</v>
      </c>
      <c r="B8" s="9">
        <f>B2+B3-B4+(B2/21.75/8*1.5*B5)+(B2/21.75/8*2*B6)+B7</f>
        <v>1764.13</v>
      </c>
    </row>
    <row r="9" spans="1:2" ht="3.6" customHeight="1" thickBot="1" x14ac:dyDescent="0.3"/>
    <row r="10" spans="1:2" ht="15.6" x14ac:dyDescent="0.3">
      <c r="A10" s="28" t="s">
        <v>13</v>
      </c>
      <c r="B10" s="29"/>
    </row>
    <row r="11" spans="1:2" ht="27.6" x14ac:dyDescent="0.25">
      <c r="A11" s="20" t="s">
        <v>11</v>
      </c>
      <c r="B11" s="21">
        <v>1</v>
      </c>
    </row>
    <row r="12" spans="1:2" ht="27.6" x14ac:dyDescent="0.25">
      <c r="A12" s="20" t="s">
        <v>12</v>
      </c>
      <c r="B12" s="21">
        <v>8</v>
      </c>
    </row>
    <row r="13" spans="1:2" ht="14.4" thickBot="1" x14ac:dyDescent="0.3">
      <c r="A13" s="8" t="s">
        <v>14</v>
      </c>
      <c r="B13" s="9">
        <f ca="1">B2+B3-B4+(B2/21.75/8*1.5*(NETWORKDAYS(EOMONTH(TODAY(),-1)+1,EOMONTH(TODAY(),0)))*B11)+(B2/21.75/8*2*((DAY(EOMONTH(TODAY(),0)))-(NETWORKDAYS.INTL(EOMONTH(TODAY(),-1)+1,EOMONTH(TODAY(),0),17)))*B12)+B7</f>
        <v>3090.5955172413796</v>
      </c>
    </row>
  </sheetData>
  <mergeCells count="1">
    <mergeCell ref="A10:B1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3</vt:i4>
      </vt:variant>
    </vt:vector>
  </HeadingPairs>
  <TitlesOfParts>
    <vt:vector size="5" baseType="lpstr">
      <vt:lpstr>当月加班记录</vt:lpstr>
      <vt:lpstr>工资细项</vt:lpstr>
      <vt:lpstr>Calendar1Month</vt:lpstr>
      <vt:lpstr>Calendar1Year</vt:lpstr>
      <vt:lpstr>StartWeekday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LiPingVon</dc:creator>
  <cp:lastModifiedBy>LiPingVon</cp:lastModifiedBy>
  <dcterms:created xsi:type="dcterms:W3CDTF">2015-06-05T18:19:34Z</dcterms:created>
  <dcterms:modified xsi:type="dcterms:W3CDTF">2023-07-13T06:25:21Z</dcterms:modified>
</cp:coreProperties>
</file>